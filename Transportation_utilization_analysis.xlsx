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a423828bb49191/"/>
    </mc:Choice>
  </mc:AlternateContent>
  <xr:revisionPtr revIDLastSave="17" documentId="8_{CB925BBB-4B44-4910-8C1E-72ECB8A41D7F}" xr6:coauthVersionLast="47" xr6:coauthVersionMax="47" xr10:uidLastSave="{CFB8FFC9-5DA5-41A8-A979-31F14614AD2B}"/>
  <bookViews>
    <workbookView xWindow="-108" yWindow="-108" windowWidth="23256" windowHeight="12456" xr2:uid="{3FF086F1-88D5-4389-A611-A0C06FD2A6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K8" i="1"/>
  <c r="K2" i="1"/>
  <c r="K3" i="1"/>
  <c r="K4" i="1"/>
  <c r="K5" i="1"/>
  <c r="K6" i="1"/>
  <c r="K7" i="1" s="1"/>
  <c r="K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M3" i="1"/>
  <c r="M4" i="1"/>
  <c r="M5" i="1"/>
  <c r="M6" i="1"/>
  <c r="M7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<sst xmlns="http://schemas.openxmlformats.org/spreadsheetml/2006/main" count="73" uniqueCount="47">
  <si>
    <t>Trip_ID</t>
  </si>
  <si>
    <t>Route</t>
  </si>
  <si>
    <t>Distance_km</t>
  </si>
  <si>
    <t>Capacity_t</t>
  </si>
  <si>
    <t>Load_t</t>
  </si>
  <si>
    <t>Trip_Cost_Rs</t>
  </si>
  <si>
    <t>T01</t>
  </si>
  <si>
    <t>Jamshedpur-Ranchi</t>
  </si>
  <si>
    <t>T02</t>
  </si>
  <si>
    <t>Jamshedpur-Kolkata</t>
  </si>
  <si>
    <t>T03</t>
  </si>
  <si>
    <t>Jamshedpur-Bhubaneswar</t>
  </si>
  <si>
    <t>T04</t>
  </si>
  <si>
    <t>Jamshedpur-Patna</t>
  </si>
  <si>
    <t>T05</t>
  </si>
  <si>
    <t>Jamshedpur-Dhanbad</t>
  </si>
  <si>
    <t>T06</t>
  </si>
  <si>
    <t>Jamshedpur-Raipur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</si>
  <si>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</si>
  <si>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</si>
  <si>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</si>
  <si>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</si>
  <si>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</si>
  <si>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</si>
  <si>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</si>
  <si>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</si>
  <si>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</si>
  <si>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</si>
  <si>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</si>
  <si>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</si>
  <si>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</si>
  <si>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</si>
  <si>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</si>
  <si>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</si>
  <si>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</si>
  <si>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</si>
  <si>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Utilization</t>
  </si>
  <si>
    <t>Cost_per_tonne_km</t>
  </si>
  <si>
    <t>Cost_per_tonne</t>
  </si>
  <si>
    <t>Total trips</t>
  </si>
  <si>
    <t>Total load (t)</t>
  </si>
  <si>
    <t>Avg utilization</t>
  </si>
  <si>
    <t>Trips below 70%</t>
  </si>
  <si>
    <t>Cost per tonne</t>
  </si>
  <si>
    <t>Trips at 85%</t>
  </si>
  <si>
    <t>Trips saved</t>
  </si>
  <si>
    <t>Cost saving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</si>
</sst>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Cost per tonne by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Cost per tonne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Sheet1!$L$2:$L$7</c:f>
              <c:strCache>
                <c:ptCount val="6"/>
                <c:pt idx="0">
                  <c:v>Jamshedpur-Ranchi</c:v>
                </c:pt>
                <c:pt idx="1">
                  <c:v>Jamshedpur-Kolkata</c:v>
                </c:pt>
                <c:pt idx="2">
                  <c:v>Jamshedpur-Bhubaneswar</c:v>
                </c:pt>
                <c:pt idx="3">
                  <c:v>Jamshedpur-Patna</c:v>
                </c:pt>
                <c:pt idx="4">
                  <c:v>Jamshedpur-Dhanbad</c:v>
                </c:pt>
                <c:pt idx="5">
                  <c:v>Jamshedpur-Raipur</c:v>
                </c:pt>
              </c:strCache>
            </c:strRef>
          </c:cat>
          <c:val>
            <c:numRef>
              <c:f>Sheet1!$M$2:$M$7</c:f>
              <c:numCache>
                <c:formatCode>General</c:formatCode>
                <c:ptCount val="6"/>
                <c:pt idx="0">
                  <c:v>449</c:v>
                </c:pt>
                <c:pt idx="1">
                  <c:v>659</c:v>
                </c:pt>
                <c:pt idx="2">
                  <c:v>846</c:v>
                </c:pt>
                <c:pt idx="3">
                  <c:v>1120</c:v>
                </c:pt>
                <c:pt idx="4">
                  <c:v>515</c:v>
                </c:pt>
                <c:pt idx="5">
                  <c:v>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0-461B-B32A-6665C1FFC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662048"/>
        <c:axId val="1568060208"/>
      </c:barChart>
      <c:catAx>
        <c:axId val="156866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60208"/>
        <c:crosses val="autoZero"/>
        <c:auto val="1"/>
        <c:lblAlgn val="ctr"/>
        <c:lblOffset val="100"/>
        <c:noMultiLvlLbl val="0"/>
      </c:catAx>
      <c:valAx>
        <c:axId val="15680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66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Utilization per trip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Sheet1!$G$2:$G$25</c:f>
              <c:numCache>
                <c:formatCode>0%</c:formatCode>
                <c:ptCount val="24"/>
                <c:pt idx="0">
                  <c:v>0.7</c:v>
                </c:pt>
                <c:pt idx="1">
                  <c:v>0.65</c:v>
                </c:pt>
                <c:pt idx="2">
                  <c:v>0.8</c:v>
                </c:pt>
                <c:pt idx="3">
                  <c:v>0.55000000000000004</c:v>
                </c:pt>
                <c:pt idx="4">
                  <c:v>0.9</c:v>
                </c:pt>
                <c:pt idx="5">
                  <c:v>0.75</c:v>
                </c:pt>
                <c:pt idx="6">
                  <c:v>0.6</c:v>
                </c:pt>
                <c:pt idx="7">
                  <c:v>0.85</c:v>
                </c:pt>
                <c:pt idx="8">
                  <c:v>0.625</c:v>
                </c:pt>
                <c:pt idx="9">
                  <c:v>0.71875</c:v>
                </c:pt>
                <c:pt idx="10">
                  <c:v>0.5625</c:v>
                </c:pt>
                <c:pt idx="11">
                  <c:v>0.75</c:v>
                </c:pt>
                <c:pt idx="12">
                  <c:v>0.8125</c:v>
                </c:pt>
                <c:pt idx="13">
                  <c:v>0.65625</c:v>
                </c:pt>
                <c:pt idx="14">
                  <c:v>0.7</c:v>
                </c:pt>
                <c:pt idx="15">
                  <c:v>0.6</c:v>
                </c:pt>
                <c:pt idx="16">
                  <c:v>0.8</c:v>
                </c:pt>
                <c:pt idx="17">
                  <c:v>0.6875</c:v>
                </c:pt>
                <c:pt idx="18">
                  <c:v>0.5</c:v>
                </c:pt>
                <c:pt idx="19">
                  <c:v>0.95</c:v>
                </c:pt>
                <c:pt idx="20">
                  <c:v>0.78125</c:v>
                </c:pt>
                <c:pt idx="21">
                  <c:v>0.85</c:v>
                </c:pt>
                <c:pt idx="22">
                  <c:v>0.625</c:v>
                </c:pt>
                <c:pt idx="2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A-4E1A-82DE-46A389ADF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238256"/>
        <c:axId val="1568088048"/>
      </c:barChart>
      <c:catAx>
        <c:axId val="1962238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88048"/>
        <c:crosses val="autoZero"/>
        <c:auto val="1"/>
        <c:lblAlgn val="ctr"/>
        <c:lblOffset val="100"/>
        <c:noMultiLvlLbl val="0"/>
      </c:catAx>
      <c:valAx>
        <c:axId val="156808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23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Cost per tonne by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Cost per tonne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Sheet1!$L$2:$L$7</c:f>
              <c:strCache>
                <c:ptCount val="6"/>
                <c:pt idx="0">
                  <c:v>Jamshedpur-Ranchi</c:v>
                </c:pt>
                <c:pt idx="1">
                  <c:v>Jamshedpur-Kolkata</c:v>
                </c:pt>
                <c:pt idx="2">
                  <c:v>Jamshedpur-Bhubaneswar</c:v>
                </c:pt>
                <c:pt idx="3">
                  <c:v>Jamshedpur-Patna</c:v>
                </c:pt>
                <c:pt idx="4">
                  <c:v>Jamshedpur-Dhanbad</c:v>
                </c:pt>
                <c:pt idx="5">
                  <c:v>Jamshedpur-Raipur</c:v>
                </c:pt>
              </c:strCache>
            </c:strRef>
          </c:cat>
          <c:val>
            <c:numRef>
              <c:f>Sheet1!$M$2:$M$7</c:f>
              <c:numCache>
                <c:formatCode>General</c:formatCode>
                <c:ptCount val="6"/>
                <c:pt idx="0">
                  <c:v>449</c:v>
                </c:pt>
                <c:pt idx="1">
                  <c:v>659</c:v>
                </c:pt>
                <c:pt idx="2">
                  <c:v>846</c:v>
                </c:pt>
                <c:pt idx="3">
                  <c:v>1120</c:v>
                </c:pt>
                <c:pt idx="4">
                  <c:v>515</c:v>
                </c:pt>
                <c:pt idx="5">
                  <c:v>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2-41F0-A60B-77D3411F9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662048"/>
        <c:axId val="1568060208"/>
      </c:barChart>
      <c:catAx>
        <c:axId val="156866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60208"/>
        <c:crosses val="autoZero"/>
        <c:auto val="1"/>
        <c:lblAlgn val="ctr"/>
        <c:lblOffset val="100"/>
        <c:noMultiLvlLbl val="0"/>
      </c:catAx>
      <c:valAx>
        <c:axId val="15680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66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Utilization per trip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Sheet1!$G$2:$G$25</c:f>
              <c:numCache>
                <c:formatCode>0%</c:formatCode>
                <c:ptCount val="24"/>
                <c:pt idx="0">
                  <c:v>0.7</c:v>
                </c:pt>
                <c:pt idx="1">
                  <c:v>0.65</c:v>
                </c:pt>
                <c:pt idx="2">
                  <c:v>0.8</c:v>
                </c:pt>
                <c:pt idx="3">
                  <c:v>0.55000000000000004</c:v>
                </c:pt>
                <c:pt idx="4">
                  <c:v>0.9</c:v>
                </c:pt>
                <c:pt idx="5">
                  <c:v>0.75</c:v>
                </c:pt>
                <c:pt idx="6">
                  <c:v>0.6</c:v>
                </c:pt>
                <c:pt idx="7">
                  <c:v>0.85</c:v>
                </c:pt>
                <c:pt idx="8">
                  <c:v>0.625</c:v>
                </c:pt>
                <c:pt idx="9">
                  <c:v>0.71875</c:v>
                </c:pt>
                <c:pt idx="10">
                  <c:v>0.5625</c:v>
                </c:pt>
                <c:pt idx="11">
                  <c:v>0.75</c:v>
                </c:pt>
                <c:pt idx="12">
                  <c:v>0.8125</c:v>
                </c:pt>
                <c:pt idx="13">
                  <c:v>0.65625</c:v>
                </c:pt>
                <c:pt idx="14">
                  <c:v>0.7</c:v>
                </c:pt>
                <c:pt idx="15">
                  <c:v>0.6</c:v>
                </c:pt>
                <c:pt idx="16">
                  <c:v>0.8</c:v>
                </c:pt>
                <c:pt idx="17">
                  <c:v>0.6875</c:v>
                </c:pt>
                <c:pt idx="18">
                  <c:v>0.5</c:v>
                </c:pt>
                <c:pt idx="19">
                  <c:v>0.95</c:v>
                </c:pt>
                <c:pt idx="20">
                  <c:v>0.78125</c:v>
                </c:pt>
                <c:pt idx="21">
                  <c:v>0.85</c:v>
                </c:pt>
                <c:pt idx="22">
                  <c:v>0.625</c:v>
                </c:pt>
                <c:pt idx="2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5-4880-BACB-9B2A9776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238256"/>
        <c:axId val="1568088048"/>
      </c:barChart>
      <c:catAx>
        <c:axId val="1962238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88048"/>
        <c:crosses val="autoZero"/>
        <c:auto val="1"/>
        <c:lblAlgn val="ctr"/>
        <c:lblOffset val="100"/>
        <c:noMultiLvlLbl val="0"/>
      </c:catAx>
      <c:valAx>
        <c:axId val="156808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23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9</xdr:row>
      <xdr:rowOff>0</xdr:rowOff>
    </xdr:from>
    <xdr:to>
      <xdr:col>13</xdr:col>
      <xdr:colOff>106680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FFA524-D4E8-E7AC-6B51-F7B33EDC2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167640</xdr:colOff>
      <xdr:row>2</xdr:row>
      <xdr:rowOff>41910</xdr:rowOff>
    </xdr:from>
    <xdr:to>
      <xdr:col>19</xdr:col>
      <xdr:colOff>91440</xdr:colOff>
      <xdr:row>14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997C9-0F4B-AAC4-F82C-AAC243648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0</xdr:rowOff>
    </xdr:from>
    <xdr:to>
      <xdr:col>6</xdr:col>
      <xdr:colOff>350520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75FD9-1BD0-4D58-98FC-7E0C308E2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7620</xdr:rowOff>
    </xdr:from>
    <xdr:to>
      <xdr:col>13</xdr:col>
      <xdr:colOff>7620</xdr:colOff>
      <xdr:row>14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7BCDFD-4064-4920-9D81-882A939FC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9423-D180-4267-B57F-AE9AEECBFC58}">
  <dimension ref="A1:M25"/>
  <sheetViews>
    <sheetView tabSelected="1" workbookViewId="0">
      <selection activeCell="O18" sqref="O18"/>
    </sheetView>
  </sheetViews>
  <sheetFormatPr defaultRowHeight="14.4" x14ac:dyDescent="0.3"/>
  <cols>
    <col min="1" max="1" width="6.44140625" bestFit="1" customWidth="1"/>
    <col min="2" max="2" width="22.77734375" bestFit="1" customWidth="1"/>
    <col min="3" max="3" width="11.33203125" bestFit="1" customWidth="1"/>
    <col min="4" max="4" width="9.33203125" bestFit="1" customWidth="1"/>
    <col min="5" max="5" width="6.21875" bestFit="1" customWidth="1"/>
    <col min="6" max="6" width="11.21875" bestFit="1" customWidth="1"/>
    <col min="7" max="7" width="8.88671875" style="1"/>
    <col min="8" max="9" width="16.77734375" bestFit="1" customWidth="1"/>
    <col min="10" max="10" width="14" bestFit="1" customWidth="1"/>
    <col min="11" max="11" width="7.109375" bestFit="1" customWidth="1"/>
    <col min="12" max="12" width="22.77734375" bestFit="1" customWidth="1"/>
    <col min="13" max="13" width="12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36</v>
      </c>
      <c r="H1" t="s">
        <v>38</v>
      </c>
      <c r="I1" t="s">
        <v>37</v>
      </c>
      <c r="J1" s="3" t="s">
        <v>39</v>
      </c>
      <c r="K1">
        <f>COUNTA(A2:A25)</f>
        <v>24</v>
      </c>
      <c r="L1" s="3" t="s">
        <v>1</v>
      </c>
      <c r="M1" s="3" t="s">
        <v>43</v>
      </c>
    </row>
    <row r="2" spans="1:13" x14ac:dyDescent="0.3">
      <c r="A2" t="s">
        <v>6</v>
      </c>
      <c r="B2" t="s">
        <v>7</v>
      </c>
      <c r="C2">
        <v>130</v>
      </c>
      <c r="D2">
        <v>10</v>
      </c>
      <c r="E2">
        <v>7</v>
      </c>
      <c r="F2">
        <v>3320</v>
      </c>
      <c r="G2" s="1">
        <f>E2/D2</f>
        <v>0.7</v>
      </c>
      <c r="H2">
        <f>ROUND(F2/E2,0)</f>
        <v>474</v>
      </c>
      <c r="I2">
        <f>ROUND(F2/(E2*C2),2)</f>
        <v>3.65</v>
      </c>
      <c r="J2" s="3" t="s">
        <v>40</v>
      </c>
      <c r="K2">
        <f>SUM(E2:E25)</f>
        <v>209</v>
      </c>
      <c r="L2" t="s">
        <v>7</v>
      </c>
      <c r="M2">
        <f>ROUND(SUMIF(B$2:B$25,L2,F$2:F$25)/SUMIF(B$2:B$25,L2,E$2:E$25),0)</f>
        <v>449</v>
      </c>
    </row>
    <row r="3" spans="1:13" x14ac:dyDescent="0.3">
      <c r="A3" t="s">
        <v>8</v>
      </c>
      <c r="B3" t="s">
        <v>9</v>
      </c>
      <c r="C3">
        <v>280</v>
      </c>
      <c r="D3">
        <v>10</v>
      </c>
      <c r="E3">
        <v>6.5</v>
      </c>
      <c r="F3">
        <v>5420</v>
      </c>
      <c r="G3" s="1">
        <f t="shared" ref="G3:G25" si="0">E3/D3</f>
        <v>0.65</v>
      </c>
      <c r="H3">
        <f t="shared" ref="H3:H25" si="1">ROUND(F3/E3,0)</f>
        <v>834</v>
      </c>
      <c r="I3">
        <f t="shared" ref="I3:I26" si="2">ROUND(F3/(E3*C3),2)</f>
        <v>2.98</v>
      </c>
      <c r="J3" s="3" t="s">
        <v>41</v>
      </c>
      <c r="K3" s="4">
        <f>ROUND((SUM(E2:E25)/SUM(D2:D25)),3)</f>
        <v>0.71099999999999997</v>
      </c>
      <c r="L3" t="s">
        <v>9</v>
      </c>
      <c r="M3">
        <f t="shared" ref="M3:M7" si="3">ROUND(SUMIF(B$2:B$25,L3,F$2:F$25)/SUMIF(B$2:B$25,L3,E$2:E$25),0)</f>
        <v>659</v>
      </c>
    </row>
    <row r="4" spans="1:13" x14ac:dyDescent="0.3">
      <c r="A4" t="s">
        <v>10</v>
      </c>
      <c r="B4" t="s">
        <v>11</v>
      </c>
      <c r="C4">
        <v>390</v>
      </c>
      <c r="D4">
        <v>10</v>
      </c>
      <c r="E4">
        <v>8</v>
      </c>
      <c r="F4">
        <v>6960</v>
      </c>
      <c r="G4" s="1">
        <f t="shared" si="0"/>
        <v>0.8</v>
      </c>
      <c r="H4">
        <f t="shared" si="1"/>
        <v>870</v>
      </c>
      <c r="I4">
        <f t="shared" si="2"/>
        <v>2.23</v>
      </c>
      <c r="J4" s="3" t="s">
        <v>42</v>
      </c>
      <c r="K4">
        <f>COUNTIF(G2:G25,"&lt;0.7")</f>
        <v>10</v>
      </c>
      <c r="L4" t="s">
        <v>11</v>
      </c>
      <c r="M4">
        <f t="shared" si="3"/>
        <v>846</v>
      </c>
    </row>
    <row r="5" spans="1:13" x14ac:dyDescent="0.3">
      <c r="A5" t="s">
        <v>12</v>
      </c>
      <c r="B5" t="s">
        <v>13</v>
      </c>
      <c r="C5">
        <v>480</v>
      </c>
      <c r="D5">
        <v>10</v>
      </c>
      <c r="E5">
        <v>5.5</v>
      </c>
      <c r="F5">
        <v>8220</v>
      </c>
      <c r="G5" s="1">
        <f t="shared" si="0"/>
        <v>0.55000000000000004</v>
      </c>
      <c r="H5">
        <f t="shared" si="1"/>
        <v>1495</v>
      </c>
      <c r="I5">
        <f t="shared" si="2"/>
        <v>3.11</v>
      </c>
      <c r="J5" s="3" t="s">
        <v>43</v>
      </c>
      <c r="K5">
        <f>ROUND((SUM(F2:F25)/SUM(E2:E25)),0)</f>
        <v>779</v>
      </c>
      <c r="L5" t="s">
        <v>13</v>
      </c>
      <c r="M5">
        <f t="shared" si="3"/>
        <v>1120</v>
      </c>
    </row>
    <row r="6" spans="1:13" x14ac:dyDescent="0.3">
      <c r="A6" t="s">
        <v>14</v>
      </c>
      <c r="B6" t="s">
        <v>15</v>
      </c>
      <c r="C6">
        <v>190</v>
      </c>
      <c r="D6">
        <v>10</v>
      </c>
      <c r="E6">
        <v>9</v>
      </c>
      <c r="F6">
        <v>4160</v>
      </c>
      <c r="G6" s="1">
        <f t="shared" si="0"/>
        <v>0.9</v>
      </c>
      <c r="H6">
        <f t="shared" si="1"/>
        <v>462</v>
      </c>
      <c r="I6">
        <f t="shared" si="2"/>
        <v>2.4300000000000002</v>
      </c>
      <c r="J6" s="3" t="s">
        <v>44</v>
      </c>
      <c r="K6">
        <f>ROUNDUP(SUM(E2:E25)/(AVERAGE(D2:D25)*0.85),0)</f>
        <v>21</v>
      </c>
      <c r="L6" t="s">
        <v>15</v>
      </c>
      <c r="M6">
        <f t="shared" si="3"/>
        <v>515</v>
      </c>
    </row>
    <row r="7" spans="1:13" x14ac:dyDescent="0.3">
      <c r="A7" t="s">
        <v>16</v>
      </c>
      <c r="B7" t="s">
        <v>17</v>
      </c>
      <c r="C7">
        <v>520</v>
      </c>
      <c r="D7">
        <v>10</v>
      </c>
      <c r="E7">
        <v>7.5</v>
      </c>
      <c r="F7">
        <v>8780</v>
      </c>
      <c r="G7" s="1">
        <f t="shared" si="0"/>
        <v>0.75</v>
      </c>
      <c r="H7">
        <f t="shared" si="1"/>
        <v>1171</v>
      </c>
      <c r="I7">
        <f t="shared" si="2"/>
        <v>2.25</v>
      </c>
      <c r="J7" s="3" t="s">
        <v>45</v>
      </c>
      <c r="K7">
        <f>K1-K6</f>
        <v>3</v>
      </c>
      <c r="L7" t="s">
        <v>17</v>
      </c>
      <c r="M7">
        <f t="shared" si="3"/>
        <v>1061</v>
      </c>
    </row>
    <row r="8" spans="1:13" x14ac:dyDescent="0.3">
      <c r="A8" t="s">
        <v>18</v>
      </c>
      <c r="B8" t="s">
        <v>7</v>
      </c>
      <c r="C8">
        <v>130</v>
      </c>
      <c r="D8">
        <v>10</v>
      </c>
      <c r="E8">
        <v>6</v>
      </c>
      <c r="F8">
        <v>3320</v>
      </c>
      <c r="G8" s="1">
        <f t="shared" si="0"/>
        <v>0.6</v>
      </c>
      <c r="H8">
        <f t="shared" si="1"/>
        <v>553</v>
      </c>
      <c r="I8">
        <f t="shared" si="2"/>
        <v>4.26</v>
      </c>
      <c r="J8" s="3" t="s">
        <v>46</v>
      </c>
      <c r="K8" s="4">
        <f>K7*AVERAGE(F2:F25)/SUM(F2:F25)</f>
        <v>0.125</v>
      </c>
    </row>
    <row r="9" spans="1:13" x14ac:dyDescent="0.3">
      <c r="A9" t="s">
        <v>19</v>
      </c>
      <c r="B9" t="s">
        <v>9</v>
      </c>
      <c r="C9">
        <v>280</v>
      </c>
      <c r="D9">
        <v>10</v>
      </c>
      <c r="E9">
        <v>8.5</v>
      </c>
      <c r="F9">
        <v>5420</v>
      </c>
      <c r="G9" s="1">
        <f t="shared" si="0"/>
        <v>0.85</v>
      </c>
      <c r="H9">
        <f t="shared" si="1"/>
        <v>638</v>
      </c>
      <c r="I9">
        <f t="shared" si="2"/>
        <v>2.2799999999999998</v>
      </c>
    </row>
    <row r="10" spans="1:13" x14ac:dyDescent="0.3">
      <c r="A10" t="s">
        <v>20</v>
      </c>
      <c r="B10" t="s">
        <v>11</v>
      </c>
      <c r="C10">
        <v>390</v>
      </c>
      <c r="D10">
        <v>16</v>
      </c>
      <c r="E10">
        <v>10</v>
      </c>
      <c r="F10">
        <v>8910</v>
      </c>
      <c r="G10" s="1">
        <f t="shared" si="0"/>
        <v>0.625</v>
      </c>
      <c r="H10">
        <f t="shared" si="1"/>
        <v>891</v>
      </c>
      <c r="I10">
        <f t="shared" si="2"/>
        <v>2.2799999999999998</v>
      </c>
    </row>
    <row r="11" spans="1:13" x14ac:dyDescent="0.3">
      <c r="A11" t="s">
        <v>21</v>
      </c>
      <c r="B11" t="s">
        <v>13</v>
      </c>
      <c r="C11">
        <v>480</v>
      </c>
      <c r="D11">
        <v>16</v>
      </c>
      <c r="E11">
        <v>11.5</v>
      </c>
      <c r="F11">
        <v>10620</v>
      </c>
      <c r="G11" s="1">
        <f t="shared" si="0"/>
        <v>0.71875</v>
      </c>
      <c r="H11">
        <f t="shared" si="1"/>
        <v>923</v>
      </c>
      <c r="I11">
        <f t="shared" si="2"/>
        <v>1.92</v>
      </c>
      <c r="J11" s="2"/>
    </row>
    <row r="12" spans="1:13" x14ac:dyDescent="0.3">
      <c r="A12" t="s">
        <v>22</v>
      </c>
      <c r="B12" t="s">
        <v>15</v>
      </c>
      <c r="C12">
        <v>190</v>
      </c>
      <c r="D12">
        <v>16</v>
      </c>
      <c r="E12">
        <v>9</v>
      </c>
      <c r="F12">
        <v>5110</v>
      </c>
      <c r="G12" s="1">
        <f t="shared" si="0"/>
        <v>0.5625</v>
      </c>
      <c r="H12">
        <f t="shared" si="1"/>
        <v>568</v>
      </c>
      <c r="I12">
        <f t="shared" si="2"/>
        <v>2.99</v>
      </c>
    </row>
    <row r="13" spans="1:13" x14ac:dyDescent="0.3">
      <c r="A13" t="s">
        <v>23</v>
      </c>
      <c r="B13" t="s">
        <v>17</v>
      </c>
      <c r="C13">
        <v>520</v>
      </c>
      <c r="D13">
        <v>16</v>
      </c>
      <c r="E13">
        <v>12</v>
      </c>
      <c r="F13">
        <v>11380</v>
      </c>
      <c r="G13" s="1">
        <f t="shared" si="0"/>
        <v>0.75</v>
      </c>
      <c r="H13">
        <f t="shared" si="1"/>
        <v>948</v>
      </c>
      <c r="I13">
        <f t="shared" si="2"/>
        <v>1.82</v>
      </c>
    </row>
    <row r="14" spans="1:13" x14ac:dyDescent="0.3">
      <c r="A14" t="s">
        <v>24</v>
      </c>
      <c r="B14" t="s">
        <v>7</v>
      </c>
      <c r="C14">
        <v>130</v>
      </c>
      <c r="D14">
        <v>16</v>
      </c>
      <c r="E14">
        <v>13</v>
      </c>
      <c r="F14">
        <v>3970</v>
      </c>
      <c r="G14" s="1">
        <f t="shared" si="0"/>
        <v>0.8125</v>
      </c>
      <c r="H14">
        <f t="shared" si="1"/>
        <v>305</v>
      </c>
      <c r="I14">
        <f t="shared" si="2"/>
        <v>2.35</v>
      </c>
    </row>
    <row r="15" spans="1:13" x14ac:dyDescent="0.3">
      <c r="A15" t="s">
        <v>25</v>
      </c>
      <c r="B15" t="s">
        <v>9</v>
      </c>
      <c r="C15">
        <v>280</v>
      </c>
      <c r="D15">
        <v>16</v>
      </c>
      <c r="E15">
        <v>10.5</v>
      </c>
      <c r="F15">
        <v>6820</v>
      </c>
      <c r="G15" s="1">
        <f t="shared" si="0"/>
        <v>0.65625</v>
      </c>
      <c r="H15">
        <f t="shared" si="1"/>
        <v>650</v>
      </c>
      <c r="I15">
        <f t="shared" si="2"/>
        <v>2.3199999999999998</v>
      </c>
    </row>
    <row r="16" spans="1:13" x14ac:dyDescent="0.3">
      <c r="A16" t="s">
        <v>26</v>
      </c>
      <c r="B16" t="s">
        <v>11</v>
      </c>
      <c r="C16">
        <v>390</v>
      </c>
      <c r="D16">
        <v>10</v>
      </c>
      <c r="E16">
        <v>7</v>
      </c>
      <c r="F16">
        <v>6960</v>
      </c>
      <c r="G16" s="1">
        <f t="shared" si="0"/>
        <v>0.7</v>
      </c>
      <c r="H16">
        <f t="shared" si="1"/>
        <v>994</v>
      </c>
      <c r="I16">
        <f t="shared" si="2"/>
        <v>2.5499999999999998</v>
      </c>
    </row>
    <row r="17" spans="1:9" x14ac:dyDescent="0.3">
      <c r="A17" t="s">
        <v>27</v>
      </c>
      <c r="B17" t="s">
        <v>13</v>
      </c>
      <c r="C17">
        <v>480</v>
      </c>
      <c r="D17">
        <v>10</v>
      </c>
      <c r="E17">
        <v>6</v>
      </c>
      <c r="F17">
        <v>8220</v>
      </c>
      <c r="G17" s="1">
        <f t="shared" si="0"/>
        <v>0.6</v>
      </c>
      <c r="H17">
        <f t="shared" si="1"/>
        <v>1370</v>
      </c>
      <c r="I17">
        <f t="shared" si="2"/>
        <v>2.85</v>
      </c>
    </row>
    <row r="18" spans="1:9" x14ac:dyDescent="0.3">
      <c r="A18" t="s">
        <v>28</v>
      </c>
      <c r="B18" t="s">
        <v>15</v>
      </c>
      <c r="C18">
        <v>190</v>
      </c>
      <c r="D18">
        <v>10</v>
      </c>
      <c r="E18">
        <v>8</v>
      </c>
      <c r="F18">
        <v>4160</v>
      </c>
      <c r="G18" s="1">
        <f t="shared" si="0"/>
        <v>0.8</v>
      </c>
      <c r="H18">
        <f t="shared" si="1"/>
        <v>520</v>
      </c>
      <c r="I18">
        <f t="shared" si="2"/>
        <v>2.74</v>
      </c>
    </row>
    <row r="19" spans="1:9" x14ac:dyDescent="0.3">
      <c r="A19" t="s">
        <v>29</v>
      </c>
      <c r="B19" t="s">
        <v>17</v>
      </c>
      <c r="C19">
        <v>520</v>
      </c>
      <c r="D19">
        <v>16</v>
      </c>
      <c r="E19">
        <v>11</v>
      </c>
      <c r="F19">
        <v>11380</v>
      </c>
      <c r="G19" s="1">
        <f t="shared" si="0"/>
        <v>0.6875</v>
      </c>
      <c r="H19">
        <f t="shared" si="1"/>
        <v>1035</v>
      </c>
      <c r="I19">
        <f t="shared" si="2"/>
        <v>1.99</v>
      </c>
    </row>
    <row r="20" spans="1:9" x14ac:dyDescent="0.3">
      <c r="A20" t="s">
        <v>30</v>
      </c>
      <c r="B20" t="s">
        <v>7</v>
      </c>
      <c r="C20">
        <v>130</v>
      </c>
      <c r="D20">
        <v>10</v>
      </c>
      <c r="E20">
        <v>5</v>
      </c>
      <c r="F20">
        <v>3320</v>
      </c>
      <c r="G20" s="1">
        <f t="shared" si="0"/>
        <v>0.5</v>
      </c>
      <c r="H20">
        <f t="shared" si="1"/>
        <v>664</v>
      </c>
      <c r="I20">
        <f t="shared" si="2"/>
        <v>5.1100000000000003</v>
      </c>
    </row>
    <row r="21" spans="1:9" x14ac:dyDescent="0.3">
      <c r="A21" t="s">
        <v>31</v>
      </c>
      <c r="B21" t="s">
        <v>9</v>
      </c>
      <c r="C21">
        <v>280</v>
      </c>
      <c r="D21">
        <v>10</v>
      </c>
      <c r="E21">
        <v>9.5</v>
      </c>
      <c r="F21">
        <v>5420</v>
      </c>
      <c r="G21" s="1">
        <f t="shared" si="0"/>
        <v>0.95</v>
      </c>
      <c r="H21">
        <f t="shared" si="1"/>
        <v>571</v>
      </c>
      <c r="I21">
        <f t="shared" si="2"/>
        <v>2.04</v>
      </c>
    </row>
    <row r="22" spans="1:9" x14ac:dyDescent="0.3">
      <c r="A22" t="s">
        <v>32</v>
      </c>
      <c r="B22" t="s">
        <v>11</v>
      </c>
      <c r="C22">
        <v>390</v>
      </c>
      <c r="D22">
        <v>16</v>
      </c>
      <c r="E22">
        <v>12.5</v>
      </c>
      <c r="F22">
        <v>8910</v>
      </c>
      <c r="G22" s="1">
        <f t="shared" si="0"/>
        <v>0.78125</v>
      </c>
      <c r="H22">
        <f t="shared" si="1"/>
        <v>713</v>
      </c>
      <c r="I22">
        <f t="shared" si="2"/>
        <v>1.83</v>
      </c>
    </row>
    <row r="23" spans="1:9" x14ac:dyDescent="0.3">
      <c r="A23" t="s">
        <v>33</v>
      </c>
      <c r="B23" t="s">
        <v>13</v>
      </c>
      <c r="C23">
        <v>480</v>
      </c>
      <c r="D23">
        <v>10</v>
      </c>
      <c r="E23">
        <v>8.5</v>
      </c>
      <c r="F23">
        <v>8220</v>
      </c>
      <c r="G23" s="1">
        <f t="shared" si="0"/>
        <v>0.85</v>
      </c>
      <c r="H23">
        <f t="shared" si="1"/>
        <v>967</v>
      </c>
      <c r="I23">
        <f t="shared" si="2"/>
        <v>2.0099999999999998</v>
      </c>
    </row>
    <row r="24" spans="1:9" x14ac:dyDescent="0.3">
      <c r="A24" t="s">
        <v>34</v>
      </c>
      <c r="B24" t="s">
        <v>15</v>
      </c>
      <c r="C24">
        <v>190</v>
      </c>
      <c r="D24">
        <v>16</v>
      </c>
      <c r="E24">
        <v>10</v>
      </c>
      <c r="F24">
        <v>5110</v>
      </c>
      <c r="G24" s="1">
        <f t="shared" si="0"/>
        <v>0.625</v>
      </c>
      <c r="H24">
        <f t="shared" si="1"/>
        <v>511</v>
      </c>
      <c r="I24">
        <f t="shared" si="2"/>
        <v>2.69</v>
      </c>
    </row>
    <row r="25" spans="1:9" x14ac:dyDescent="0.3">
      <c r="A25" t="s">
        <v>35</v>
      </c>
      <c r="B25" t="s">
        <v>17</v>
      </c>
      <c r="C25">
        <v>520</v>
      </c>
      <c r="D25">
        <v>10</v>
      </c>
      <c r="E25">
        <v>7.5</v>
      </c>
      <c r="F25">
        <v>8780</v>
      </c>
      <c r="G25" s="1">
        <f t="shared" si="0"/>
        <v>0.75</v>
      </c>
      <c r="H25">
        <f t="shared" si="1"/>
        <v>1171</v>
      </c>
      <c r="I25">
        <f t="shared" si="2"/>
        <v>2.25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D600-9AB5-4E8E-BE5D-C08F400C4D0E}">
  <dimension ref="A1"/>
  <sheetViews>
    <sheetView workbookViewId="0">
      <selection activeCell="G20" sqref="G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kumari</dc:creator>
  <cp:lastModifiedBy>Sanchita kumari</cp:lastModifiedBy>
  <dcterms:created xsi:type="dcterms:W3CDTF">2026-10-28T04:06:31Z</dcterms:created>
  <dcterms:modified xsi:type="dcterms:W3CDTF">2026-10-28T06:49:15Z</dcterms:modified>
</cp:coreProperties>
</file>